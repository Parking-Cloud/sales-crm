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grafica Attvità Commerciali " state="visible" r:id="rId4"/>
    <sheet sheetId="2" name="Gestione Prospectrichieste" state="visible" r:id="rId5"/>
  </sheets>
  <calcPr calcId="171027"/>
</workbook>
</file>

<file path=xl/sharedStrings.xml><?xml version="1.0" encoding="utf-8"?>
<sst xmlns="http://schemas.openxmlformats.org/spreadsheetml/2006/main" count="139" uniqueCount="118">
  <si>
    <t>Stato</t>
  </si>
  <si>
    <t>ID_Contatto</t>
  </si>
  <si>
    <t>Nome Azienda</t>
  </si>
  <si>
    <t>Settore</t>
  </si>
  <si>
    <t>Nome Referente</t>
  </si>
  <si>
    <t>Ruolo Referente</t>
  </si>
  <si>
    <t>Sito</t>
  </si>
  <si>
    <t>Email</t>
  </si>
  <si>
    <t>Telefono</t>
  </si>
  <si>
    <t>Data Primo contatto</t>
  </si>
  <si>
    <t>Data Ultimo contatto</t>
  </si>
  <si>
    <t>Chiamata</t>
  </si>
  <si>
    <t>Note</t>
  </si>
  <si>
    <t/>
  </si>
  <si>
    <t>Numero Posti Potenziali</t>
  </si>
  <si>
    <t>Very interested</t>
  </si>
  <si>
    <t xml:space="preserve">Azienda Esempio Srl </t>
  </si>
  <si>
    <t xml:space="preserve">Commercialista </t>
  </si>
  <si>
    <t>Mario Esempio</t>
  </si>
  <si>
    <t>Titolare</t>
  </si>
  <si>
    <t>www.azienda-esempio.example</t>
  </si>
  <si>
    <t>info@azienda-esempio.example // amministrazione@azienda-esempio.example</t>
  </si>
  <si>
    <t>Inviata</t>
  </si>
  <si>
    <t>Chiamati</t>
  </si>
  <si>
    <t>24/09/2026: prima chiamata, interessati  05/10/2026: chiedono un'offerta per 5 posti</t>
  </si>
  <si>
    <t>Not interested</t>
  </si>
  <si>
    <t>Studio Prova Associati</t>
  </si>
  <si>
    <t>consulenza del lavoro</t>
  </si>
  <si>
    <t xml:space="preserve">Non disp </t>
  </si>
  <si>
    <t>studio-prova.example</t>
  </si>
  <si>
    <t>Non disponibile</t>
  </si>
  <si>
    <t>25/09/2026</t>
  </si>
  <si>
    <t>Da inviare</t>
  </si>
  <si>
    <t>25/09/2026: si spostano con i mezzi pubblici</t>
  </si>
  <si>
    <t>ND</t>
  </si>
  <si>
    <t>Hotel Esempio Centro</t>
  </si>
  <si>
    <t>Hotel</t>
  </si>
  <si>
    <t>https://www.hotel-esempio.example</t>
  </si>
  <si>
    <t>Compilare form sul sito</t>
  </si>
  <si>
    <t>02 1234 5678 // 02 8765 4321</t>
  </si>
  <si>
    <t>Da Chiamare</t>
  </si>
  <si>
    <t>Interested</t>
  </si>
  <si>
    <t>Pizzeria Esempio</t>
  </si>
  <si>
    <t>Ristorante pizzeria</t>
  </si>
  <si>
    <t>Luca Prova</t>
  </si>
  <si>
    <t>Gestore</t>
  </si>
  <si>
    <t>pizzeria.esempio@example.com</t>
  </si>
  <si>
    <t>-</t>
  </si>
  <si>
    <t>28/09/2026//01/10/2026</t>
  </si>
  <si>
    <t>01/10/2026</t>
  </si>
  <si>
    <t>Richiamare a fine mese per parlare con il titolare</t>
  </si>
  <si>
    <t xml:space="preserve">   </t>
  </si>
  <si>
    <t>Ufficio</t>
  </si>
  <si>
    <t>senza.nome@example.com</t>
  </si>
  <si>
    <t>Centro Medico Esempio</t>
  </si>
  <si>
    <t>Fisioterapia e riabilitazione</t>
  </si>
  <si>
    <t>Sara Esempio</t>
  </si>
  <si>
    <t>Segreteria</t>
  </si>
  <si>
    <t>segreteria@centro-medico.example</t>
  </si>
  <si>
    <t>0298765432</t>
  </si>
  <si>
    <t>02/10/2026</t>
  </si>
  <si>
    <t>02/10/2026: hanno già un parcheggio interno per i dipendenti</t>
  </si>
  <si>
    <t>Formazione Esempio Srl</t>
  </si>
  <si>
    <t>Corsi di formazione</t>
  </si>
  <si>
    <t>29/09/2026</t>
  </si>
  <si>
    <t>Bottega Esempio</t>
  </si>
  <si>
    <t>Artigianato del legno</t>
  </si>
  <si>
    <t>Azienda Esempio S.r.l.</t>
  </si>
  <si>
    <t>Commercialista</t>
  </si>
  <si>
    <t>Paolo Esempio</t>
  </si>
  <si>
    <t>Amministrazione</t>
  </si>
  <si>
    <t>03/10/2026</t>
  </si>
  <si>
    <t>Agenzia Prova Immobiliare</t>
  </si>
  <si>
    <t>Agenzia immobiliare</t>
  </si>
  <si>
    <t>info@agenzia-prova.example</t>
  </si>
  <si>
    <t>+39 02 5555 1234</t>
  </si>
  <si>
    <t>30/09/2026</t>
  </si>
  <si>
    <t>15/03/2025: troppo caro per loro</t>
  </si>
  <si>
    <t>Informatica Esempio Spa</t>
  </si>
  <si>
    <t>Fornitore informatico</t>
  </si>
  <si>
    <t>Elena Prova</t>
  </si>
  <si>
    <t>Office manager</t>
  </si>
  <si>
    <t>informatica-esempio.example/contatti</t>
  </si>
  <si>
    <t>elena.prova@informatica-esempio.example</t>
  </si>
  <si>
    <t>02-4444-5555</t>
  </si>
  <si>
    <t>06/10/2026</t>
  </si>
  <si>
    <t>Gestione prospect e richieste</t>
  </si>
  <si>
    <t>Legenda: ACCETTATA = offerta firmata, RIFIUTATA = non interessato</t>
  </si>
  <si>
    <t>IN ATTESA = in attesa di risposta</t>
  </si>
  <si>
    <t>Prospect</t>
  </si>
  <si>
    <t>Nome e Ruolo Referente</t>
  </si>
  <si>
    <t>Data Offerta</t>
  </si>
  <si>
    <t>Data sollecito</t>
  </si>
  <si>
    <t>Offerta</t>
  </si>
  <si>
    <t>N posti 7/7</t>
  </si>
  <si>
    <t>Feedback Cliente</t>
  </si>
  <si>
    <t>Azienda Esempio Srl</t>
  </si>
  <si>
    <t>Mario Esempio - Titolare</t>
  </si>
  <si>
    <t>10/10/2026</t>
  </si>
  <si>
    <t>06/10/2026: inviata offerta per 3 posti</t>
  </si>
  <si>
    <t>ACCETTATA</t>
  </si>
  <si>
    <t>Soddisfatti</t>
  </si>
  <si>
    <t>Giulia Prova</t>
  </si>
  <si>
    <t>07/10/2026</t>
  </si>
  <si>
    <t>250 € / 12€ giorno / 3€ ora</t>
  </si>
  <si>
    <t>IN ATTESA</t>
  </si>
  <si>
    <t>Anna Esempio - Office manager</t>
  </si>
  <si>
    <t>08/10/2026</t>
  </si>
  <si>
    <t>230 / 210</t>
  </si>
  <si>
    <t>RIFIUTATA</t>
  </si>
  <si>
    <t>Prezzo troppo alto rispetto al concorrente</t>
  </si>
  <si>
    <t>Ditta Esempio Snc</t>
  </si>
  <si>
    <t>Inviata tabella tariffe</t>
  </si>
  <si>
    <t>Marco Esempio</t>
  </si>
  <si>
    <t>333 1112223</t>
  </si>
  <si>
    <t>09/10/2026</t>
  </si>
  <si>
    <t>180</t>
  </si>
  <si>
    <t>Non ha più bisogno del 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</si>
</sst>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>
        <v>73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3471234567</v>
      </c>
      <c r="J2" s="1">
        <v>46289</v>
      </c>
      <c r="K2" s="1">
        <v>46300</v>
      </c>
      <c r="L2" t="s">
        <v>22</v>
      </c>
      <c r="M2" t="s">
        <v>23</v>
      </c>
      <c r="N2" t="s">
        <v>24</v>
      </c>
      <c r="P2">
        <v>5</v>
      </c>
    </row>
    <row r="3" spans="1:16" x14ac:dyDescent="0.25">
      <c r="A3" t="s">
        <v>25</v>
      </c>
      <c r="B3">
        <v>301</v>
      </c>
      <c r="C3" t="s">
        <v>26</v>
      </c>
      <c r="D3" t="s">
        <v>27</v>
      </c>
      <c r="E3" t="s">
        <v>28</v>
      </c>
      <c r="G3" t="s">
        <v>29</v>
      </c>
      <c r="H3" t="s">
        <v>30</v>
      </c>
      <c r="I3">
        <v>212345678</v>
      </c>
      <c r="J3" t="s">
        <v>31</v>
      </c>
      <c r="L3" t="s">
        <v>32</v>
      </c>
      <c r="M3" t="s">
        <v>23</v>
      </c>
      <c r="N3" t="s">
        <v>33</v>
      </c>
      <c r="P3" t="s">
        <v>34</v>
      </c>
    </row>
    <row r="4" spans="1:16" x14ac:dyDescent="0.25">
      <c r="B4">
        <v>659</v>
      </c>
      <c r="C4" t="s">
        <v>35</v>
      </c>
      <c r="D4" t="s">
        <v>36</v>
      </c>
      <c r="G4" t="s">
        <v>37</v>
      </c>
      <c r="H4" t="s">
        <v>38</v>
      </c>
      <c r="I4" t="s">
        <v>39</v>
      </c>
      <c r="M4" t="s">
        <v>40</v>
      </c>
    </row>
    <row r="5" spans="1:16" x14ac:dyDescent="0.25">
      <c r="A5" t="s">
        <v>41</v>
      </c>
      <c r="B5">
        <v>660</v>
      </c>
      <c r="C5" t="s">
        <v>42</v>
      </c>
      <c r="D5" t="s">
        <v>43</v>
      </c>
      <c r="E5" t="s">
        <v>44</v>
      </c>
      <c r="F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22</v>
      </c>
      <c r="N5" t="s">
        <v>50</v>
      </c>
    </row>
    <row r="6" spans="1:16" x14ac:dyDescent="0.25"/>
    <row r="7" spans="1:16" x14ac:dyDescent="0.25">
      <c r="B7">
        <v>700</v>
      </c>
      <c r="C7" t="s">
        <v>51</v>
      </c>
      <c r="D7" t="s">
        <v>52</v>
      </c>
      <c r="H7" t="s">
        <v>53</v>
      </c>
    </row>
    <row r="8" spans="1:16" x14ac:dyDescent="0.25">
      <c r="A8" t="s">
        <v>25</v>
      </c>
      <c r="B8">
        <v>701</v>
      </c>
      <c r="C8" t="s">
        <v>54</v>
      </c>
      <c r="D8" t="s">
        <v>55</v>
      </c>
      <c r="E8" t="s">
        <v>56</v>
      </c>
      <c r="F8" t="s">
        <v>57</v>
      </c>
      <c r="H8" t="s">
        <v>58</v>
      </c>
      <c r="I8" t="s">
        <v>59</v>
      </c>
      <c r="J8" t="s">
        <v>60</v>
      </c>
      <c r="K8" t="s">
        <v>60</v>
      </c>
      <c r="M8" t="s">
        <v>23</v>
      </c>
      <c r="N8" t="s">
        <v>61</v>
      </c>
    </row>
    <row r="9" spans="1:16" x14ac:dyDescent="0.25">
      <c r="B9">
        <v>702</v>
      </c>
      <c r="C9" t="s">
        <v>62</v>
      </c>
      <c r="D9" t="s">
        <v>63</v>
      </c>
      <c r="J9" t="s">
        <v>64</v>
      </c>
    </row>
    <row r="10" spans="1:16" x14ac:dyDescent="0.25">
      <c r="B10">
        <v>703</v>
      </c>
      <c r="C10" t="s">
        <v>65</v>
      </c>
      <c r="D10" t="s">
        <v>66</v>
      </c>
    </row>
    <row r="11" spans="1:16" x14ac:dyDescent="0.25">
      <c r="A11" t="s">
        <v>41</v>
      </c>
      <c r="B11">
        <v>704</v>
      </c>
      <c r="C11" t="s">
        <v>67</v>
      </c>
      <c r="D11" t="s">
        <v>68</v>
      </c>
      <c r="E11" t="s">
        <v>69</v>
      </c>
      <c r="F11" t="s">
        <v>70</v>
      </c>
      <c r="J11" t="s">
        <v>71</v>
      </c>
      <c r="M11" t="s">
        <v>23</v>
      </c>
    </row>
    <row r="12" spans="1:16" x14ac:dyDescent="0.25">
      <c r="A12" t="s">
        <v>25</v>
      </c>
      <c r="B12">
        <v>705</v>
      </c>
      <c r="C12" t="s">
        <v>72</v>
      </c>
      <c r="D12" t="s">
        <v>73</v>
      </c>
      <c r="H12" t="s">
        <v>74</v>
      </c>
      <c r="I12" t="s">
        <v>75</v>
      </c>
      <c r="J12" t="s">
        <v>76</v>
      </c>
      <c r="M12" t="s">
        <v>23</v>
      </c>
      <c r="N12" t="s">
        <v>77</v>
      </c>
    </row>
    <row r="13" spans="1:16" x14ac:dyDescent="0.25">
      <c r="A13" t="s">
        <v>15</v>
      </c>
      <c r="B13">
        <v>1200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 t="s">
        <v>49</v>
      </c>
      <c r="K13" t="s">
        <v>85</v>
      </c>
      <c r="L13" t="s">
        <v>22</v>
      </c>
      <c r="M13" t="s">
        <v>23</v>
      </c>
      <c r="P13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1"/>
  <sheetFormatPr defaultRowHeight="15" outlineLevelRow="0" outlineLevelCol="0" x14ac:dyDescent="55"/>
  <sheetData>
    <row r="1" spans="2:2" x14ac:dyDescent="0.25">
      <c r="B1" t="s">
        <v>86</v>
      </c>
    </row>
    <row r="2" spans="2:2" x14ac:dyDescent="0.25">
      <c r="B2" t="s">
        <v>87</v>
      </c>
    </row>
    <row r="3" spans="2:2" x14ac:dyDescent="0.25">
      <c r="B3" t="s">
        <v>88</v>
      </c>
    </row>
    <row r="5" spans="2:12" x14ac:dyDescent="0.25">
      <c r="B5" t="s">
        <v>89</v>
      </c>
      <c r="C5" t="s">
        <v>7</v>
      </c>
      <c r="D5" t="s">
        <v>8</v>
      </c>
      <c r="E5" t="s">
        <v>90</v>
      </c>
      <c r="F5" t="s">
        <v>91</v>
      </c>
      <c r="G5" t="s">
        <v>92</v>
      </c>
      <c r="H5" t="s">
        <v>12</v>
      </c>
      <c r="I5" t="s">
        <v>93</v>
      </c>
      <c r="J5" t="s">
        <v>94</v>
      </c>
      <c r="K5" t="s">
        <v>0</v>
      </c>
      <c r="L5" t="s">
        <v>95</v>
      </c>
    </row>
    <row r="6" spans="2:12" x14ac:dyDescent="0.25">
      <c r="B6" t="s">
        <v>96</v>
      </c>
      <c r="C6" t="str">
        <f>VLOOKUP(B6,'Anagrafica Attvità Commerciali '!C:I,6,FALSE)</f>
        <v>info@azienda-esempio.example</v>
      </c>
      <c r="D6">
        <f>VLOOKUP(B6,'Anagrafica Attvità Commerciali '!C:I,7,FALSE)</f>
        <v>3471234567</v>
      </c>
      <c r="E6" t="s">
        <v>97</v>
      </c>
      <c r="F6" s="1">
        <v>46301</v>
      </c>
      <c r="G6" t="s">
        <v>98</v>
      </c>
      <c r="H6" t="s">
        <v>99</v>
      </c>
      <c r="I6">
        <v>250</v>
      </c>
      <c r="J6">
        <v>3</v>
      </c>
      <c r="K6" t="s">
        <v>100</v>
      </c>
      <c r="L6" t="s">
        <v>101</v>
      </c>
    </row>
    <row r="7" spans="2:12" x14ac:dyDescent="0.25">
      <c r="B7" t="s">
        <v>102</v>
      </c>
      <c r="C7" t="e">
        <f>VLOOKUP(B7,'Anagrafica Attvità Commerciali '!C:I,6,FALSE)</f>
        <v>#N/A</v>
      </c>
      <c r="D7" t="e">
        <f>VLOOKUP(B7,'Anagrafica Attvità Commerciali '!C:I,7,FALSE)</f>
        <v>#N/A</v>
      </c>
      <c r="F7" t="s">
        <v>103</v>
      </c>
      <c r="I7" t="s">
        <v>104</v>
      </c>
      <c r="J7" t="s">
        <v>34</v>
      </c>
      <c r="K7" t="s">
        <v>105</v>
      </c>
    </row>
    <row r="8" spans="2:12" x14ac:dyDescent="0.25">
      <c r="B8" t="s">
        <v>26</v>
      </c>
      <c r="C8" t="str">
        <f>VLOOKUP(B8,'Anagrafica Attvità Commerciali '!C:I,6,FALSE)</f>
        <v>Non disponibile</v>
      </c>
      <c r="D8">
        <f>VLOOKUP(B8,'Anagrafica Attvità Commerciali '!C:I,7,FALSE)</f>
        <v>212345678</v>
      </c>
      <c r="E8" t="s">
        <v>106</v>
      </c>
      <c r="F8" t="s">
        <v>107</v>
      </c>
      <c r="I8" t="s">
        <v>108</v>
      </c>
      <c r="J8">
        <v>2</v>
      </c>
      <c r="K8" t="s">
        <v>109</v>
      </c>
      <c r="L8" t="s">
        <v>110</v>
      </c>
    </row>
    <row r="9" spans="2:12" x14ac:dyDescent="0.25">
      <c r="B9" t="s">
        <v>111</v>
      </c>
      <c r="I9" t="s">
        <v>112</v>
      </c>
    </row>
    <row r="10" spans="2:12" x14ac:dyDescent="0.25"/>
    <row r="11" spans="2:12" x14ac:dyDescent="0.25">
      <c r="B11" t="s">
        <v>113</v>
      </c>
      <c r="D11" t="s">
        <v>114</v>
      </c>
      <c r="F11" t="s">
        <v>115</v>
      </c>
      <c r="I11" t="s">
        <v>116</v>
      </c>
      <c r="J11">
        <v>1</v>
      </c>
      <c r="K11" t="s">
        <v>109</v>
      </c>
      <c r="L11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Anagrafica Attvità Commerciali </vt:lpstr>
      <vt:lpstr>Gestione Prospectrichieste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2026-10-12T00:00:00Z</dcterms:modified>
</cp:coreProperties>
</file>